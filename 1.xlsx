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Визуализация R\Экспертные методы\"/>
    </mc:Choice>
  </mc:AlternateContent>
  <xr:revisionPtr revIDLastSave="0" documentId="13_ncr:1_{4EB3D888-113D-462F-9BAA-273FD72809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L26" i="1" s="1"/>
  <c r="L27" i="1" l="1"/>
  <c r="L29" i="1"/>
  <c r="L28" i="1"/>
  <c r="L30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A21" i="1" l="1"/>
  <c r="A22" i="1" s="1"/>
  <c r="A23" i="1" s="1"/>
  <c r="A24" i="1" s="1"/>
  <c r="A25" i="1" s="1"/>
  <c r="A26" i="1" s="1"/>
  <c r="A27" i="1" s="1"/>
  <c r="A28" i="1" s="1"/>
  <c r="A29" i="1" s="1"/>
  <c r="A30" i="1" s="1"/>
  <c r="L19" i="1" l="1"/>
  <c r="L25" i="1"/>
  <c r="L24" i="1"/>
  <c r="L23" i="1"/>
  <c r="L21" i="1"/>
  <c r="L20" i="1"/>
  <c r="L22" i="1"/>
  <c r="A12" i="1"/>
  <c r="A13" i="1" s="1"/>
  <c r="A14" i="1" s="1"/>
  <c r="A15" i="1" s="1"/>
  <c r="A16" i="1" s="1"/>
  <c r="A17" i="1" s="1"/>
  <c r="A18" i="1" s="1"/>
  <c r="L11" i="1"/>
  <c r="L13" i="1" l="1"/>
  <c r="L18" i="1"/>
  <c r="L16" i="1"/>
  <c r="L14" i="1"/>
  <c r="L12" i="1"/>
  <c r="L15" i="1"/>
  <c r="L17" i="1"/>
</calcChain>
</file>

<file path=xl/sharedStrings.xml><?xml version="1.0" encoding="utf-8"?>
<sst xmlns="http://schemas.openxmlformats.org/spreadsheetml/2006/main" count="41" uniqueCount="41">
  <si>
    <t>Журнал оценок по рейтинговой системе</t>
  </si>
  <si>
    <t>Максимальный балл</t>
  </si>
  <si>
    <t>Вес мероприятия</t>
  </si>
  <si>
    <t>Дата</t>
  </si>
  <si>
    <t>Контрольное мероприятие</t>
  </si>
  <si>
    <t>Итоговый рейтинг</t>
  </si>
  <si>
    <t>Оценка по рейтингу</t>
  </si>
  <si>
    <t>Оценка на сессии</t>
  </si>
  <si>
    <t xml:space="preserve">Шкала соответсвия </t>
  </si>
  <si>
    <t>незачтено</t>
  </si>
  <si>
    <t>зачтено</t>
  </si>
  <si>
    <t>весенний семестр</t>
  </si>
  <si>
    <t>группа Б8202</t>
  </si>
  <si>
    <t>менее 61%</t>
  </si>
  <si>
    <t>61-100%</t>
  </si>
  <si>
    <t>Основная кинематическая задача</t>
  </si>
  <si>
    <t>Интегралы движения</t>
  </si>
  <si>
    <t>Уравнения Лагранжа</t>
  </si>
  <si>
    <t>Обратная задача</t>
  </si>
  <si>
    <t>Аланаев Антон Семенович</t>
  </si>
  <si>
    <t>Балун Виктор Игоревич</t>
  </si>
  <si>
    <t>Грибак Ярослав Викторович</t>
  </si>
  <si>
    <t>Демидко Даниил Сергеевич</t>
  </si>
  <si>
    <t>Егоров Артем Николаевич</t>
  </si>
  <si>
    <t>Ивановский Станислав Евгеньевич</t>
  </si>
  <si>
    <t>Исаков Андрей Владимирович</t>
  </si>
  <si>
    <t>Казаков Евгений Денисович</t>
  </si>
  <si>
    <t>Ключников Дмитрий Викторович</t>
  </si>
  <si>
    <t>Крамаренко Георгий Дмитриевич</t>
  </si>
  <si>
    <t>Лашкевич Полина Константиновна</t>
  </si>
  <si>
    <t>Лось Елизавета Сергеевна</t>
  </si>
  <si>
    <t>Михайлов Денис Станиславович</t>
  </si>
  <si>
    <t>Оськина Анастасия Олеговна</t>
  </si>
  <si>
    <t>Покидов Иван Анатольевич</t>
  </si>
  <si>
    <t>Сергеев Андрей Олегович</t>
  </si>
  <si>
    <t>Ушаков Михаил Александрович</t>
  </si>
  <si>
    <t>Хомякова Наталья Константиновна</t>
  </si>
  <si>
    <t>Шаповалов Игорь Евгеньевич</t>
  </si>
  <si>
    <t>Шипков Вадим Андреевич</t>
  </si>
  <si>
    <t>2018- 2019 уч. год</t>
  </si>
  <si>
    <t>Дисциплина "Теоретическая механика и физика"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</si>
</sst>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0"/>
      <name val="Arial"/>
      <family val="2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sz val="14"/>
      <color indexed="10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theme="1"/>
      <name val="Arial"/>
      <family val="2"/>
      <charset val="204"/>
    </font>
    <font>
      <sz val="14"/>
      <color rgb="FFFF0000"/>
      <name val="Arial"/>
      <family val="2"/>
      <charset val="204"/>
    </font>
    <font>
      <sz val="12"/>
      <name val="Arial"/>
      <family val="2"/>
      <charset val="204"/>
    </font>
    <font>
      <sz val="11"/>
      <name val="Arial"/>
      <family val="2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 style="thin">
        <color indexed="58"/>
      </left>
      <right/>
      <top/>
      <bottom style="thin">
        <color indexed="5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58"/>
      </bottom>
      <diagonal/>
    </border>
    <border>
      <left style="double">
        <color indexed="64"/>
      </left>
      <right style="thin">
        <color indexed="58"/>
      </right>
      <top/>
      <bottom style="thin">
        <color indexed="58"/>
      </bottom>
      <diagonal/>
    </border>
    <border>
      <left style="double">
        <color indexed="64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164" fontId="1" fillId="0" borderId="3" xfId="0" applyNumberFormat="1" applyFont="1" applyBorder="1" applyAlignment="1">
      <alignment horizontal="center"/>
    </xf>
    <xf numFmtId="0" fontId="1" fillId="0" borderId="0" xfId="0" applyFont="1"/>
    <xf numFmtId="0" fontId="2" fillId="0" borderId="6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2" fillId="0" borderId="0" xfId="0" applyFont="1"/>
    <xf numFmtId="0" fontId="5" fillId="0" borderId="5" xfId="0" applyFont="1" applyBorder="1" applyAlignment="1">
      <alignment horizontal="right"/>
    </xf>
    <xf numFmtId="0" fontId="2" fillId="0" borderId="5" xfId="0" quotePrefix="1" applyFont="1" applyBorder="1"/>
    <xf numFmtId="0" fontId="2" fillId="0" borderId="5" xfId="0" applyFont="1" applyBorder="1"/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16" fontId="7" fillId="0" borderId="6" xfId="0" applyNumberFormat="1" applyFont="1" applyBorder="1" applyAlignment="1">
      <alignment horizontal="center" wrapText="1"/>
    </xf>
    <xf numFmtId="0" fontId="7" fillId="0" borderId="6" xfId="0" applyFont="1" applyFill="1" applyBorder="1" applyAlignment="1">
      <alignment horizontal="center" wrapText="1"/>
    </xf>
    <xf numFmtId="0" fontId="8" fillId="0" borderId="5" xfId="0" quotePrefix="1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8" fillId="0" borderId="5" xfId="0" quotePrefix="1" applyNumberFormat="1" applyFont="1" applyBorder="1"/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2" fillId="0" borderId="3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0"/>
  <sheetViews>
    <sheetView tabSelected="1" topLeftCell="A7" zoomScale="75" zoomScaleNormal="75" workbookViewId="0">
      <selection activeCell="H11" sqref="H11"/>
    </sheetView>
  </sheetViews>
  <sheetFormatPr defaultColWidth="9" defaultRowHeight="17.399999999999999" x14ac:dyDescent="0.3"/>
  <cols>
    <col min="1" max="1" width="6.44140625" style="9" customWidth="1"/>
    <col min="2" max="2" width="44" style="9" customWidth="1"/>
    <col min="3" max="3" width="13.44140625" style="9" customWidth="1"/>
    <col min="4" max="5" width="18.33203125" style="9" customWidth="1"/>
    <col min="6" max="6" width="12.33203125" style="9" customWidth="1"/>
    <col min="7" max="7" width="12.6640625" style="9" customWidth="1"/>
    <col min="8" max="8" width="2.44140625" style="9" customWidth="1"/>
    <col min="9" max="10" width="2.5546875" style="9" customWidth="1"/>
    <col min="11" max="11" width="3.109375" style="9" customWidth="1"/>
    <col min="12" max="13" width="13.88671875" style="9" customWidth="1"/>
    <col min="14" max="14" width="10.6640625" style="9" customWidth="1"/>
    <col min="15" max="15" width="11.6640625" style="9" customWidth="1"/>
    <col min="16" max="16" width="9" style="9"/>
    <col min="17" max="17" width="15" style="9" customWidth="1"/>
    <col min="18" max="18" width="12.44140625" style="9" customWidth="1"/>
    <col min="19" max="19" width="11.6640625" style="9" customWidth="1"/>
    <col min="20" max="16384" width="9" style="9"/>
  </cols>
  <sheetData>
    <row r="1" spans="1:18" x14ac:dyDescent="0.3">
      <c r="A1" s="6" t="s">
        <v>0</v>
      </c>
      <c r="L1" s="32"/>
      <c r="M1" s="33"/>
      <c r="N1" s="33"/>
    </row>
    <row r="2" spans="1:18" x14ac:dyDescent="0.3">
      <c r="A2" s="9" t="s">
        <v>39</v>
      </c>
      <c r="L2" s="34" t="s">
        <v>8</v>
      </c>
      <c r="M2" s="35"/>
      <c r="N2" s="36"/>
    </row>
    <row r="3" spans="1:18" ht="15.75" customHeight="1" x14ac:dyDescent="0.3">
      <c r="A3" s="9" t="s">
        <v>11</v>
      </c>
      <c r="L3" s="25" t="s">
        <v>13</v>
      </c>
      <c r="M3" s="26" t="s">
        <v>14</v>
      </c>
      <c r="N3" s="20"/>
    </row>
    <row r="4" spans="1:18" x14ac:dyDescent="0.3">
      <c r="A4" s="9" t="s">
        <v>40</v>
      </c>
      <c r="L4" s="26" t="s">
        <v>9</v>
      </c>
      <c r="M4" s="26" t="s">
        <v>10</v>
      </c>
      <c r="N4" s="20"/>
    </row>
    <row r="5" spans="1:18" x14ac:dyDescent="0.3">
      <c r="A5" s="9" t="s">
        <v>12</v>
      </c>
    </row>
    <row r="7" spans="1:18" ht="34.5" customHeight="1" x14ac:dyDescent="0.3">
      <c r="A7" s="12"/>
      <c r="B7" s="10" t="s">
        <v>3</v>
      </c>
      <c r="C7" s="27"/>
      <c r="D7" s="27"/>
      <c r="E7" s="27"/>
      <c r="F7" s="11"/>
      <c r="G7" s="11"/>
      <c r="H7" s="12"/>
      <c r="I7" s="12"/>
      <c r="J7" s="12"/>
      <c r="K7" s="12"/>
      <c r="L7" s="8" t="s">
        <v>5</v>
      </c>
      <c r="M7" s="8" t="s">
        <v>6</v>
      </c>
      <c r="N7" s="21" t="s">
        <v>7</v>
      </c>
    </row>
    <row r="8" spans="1:18" ht="57" customHeight="1" x14ac:dyDescent="0.3">
      <c r="A8" s="22"/>
      <c r="B8" s="10" t="s">
        <v>4</v>
      </c>
      <c r="C8" s="23" t="s">
        <v>15</v>
      </c>
      <c r="D8" s="23" t="s">
        <v>16</v>
      </c>
      <c r="E8" s="23" t="s">
        <v>17</v>
      </c>
      <c r="F8" s="24" t="s">
        <v>18</v>
      </c>
      <c r="G8" s="7"/>
      <c r="H8" s="7"/>
      <c r="I8" s="7"/>
      <c r="J8" s="7"/>
      <c r="K8" s="7"/>
      <c r="L8" s="7"/>
      <c r="M8" s="7"/>
      <c r="N8" s="16"/>
    </row>
    <row r="9" spans="1:18" ht="18.899999999999999" customHeight="1" x14ac:dyDescent="0.3">
      <c r="A9" s="22"/>
      <c r="B9" s="10" t="s">
        <v>1</v>
      </c>
      <c r="C9" s="3">
        <v>10</v>
      </c>
      <c r="D9" s="3">
        <v>10</v>
      </c>
      <c r="E9" s="3">
        <v>5</v>
      </c>
      <c r="F9" s="4">
        <v>5</v>
      </c>
      <c r="G9" s="3"/>
      <c r="H9" s="3"/>
      <c r="I9" s="3"/>
      <c r="J9" s="3"/>
      <c r="K9" s="3"/>
      <c r="L9" s="1"/>
      <c r="M9" s="2"/>
      <c r="N9" s="17"/>
    </row>
    <row r="10" spans="1:18" ht="18.899999999999999" customHeight="1" thickBot="1" x14ac:dyDescent="0.35">
      <c r="A10" s="22"/>
      <c r="B10" s="10" t="s">
        <v>2</v>
      </c>
      <c r="C10" s="3">
        <v>2</v>
      </c>
      <c r="D10" s="3">
        <v>2</v>
      </c>
      <c r="E10" s="3">
        <v>1</v>
      </c>
      <c r="F10" s="4">
        <v>1</v>
      </c>
      <c r="G10" s="3"/>
      <c r="H10" s="3"/>
      <c r="I10" s="3"/>
      <c r="J10" s="3"/>
      <c r="K10" s="3"/>
      <c r="L10" s="1"/>
      <c r="M10" s="2"/>
      <c r="N10" s="17"/>
    </row>
    <row r="11" spans="1:18" ht="18.600000000000001" thickBot="1" x14ac:dyDescent="0.35">
      <c r="A11" s="12">
        <v>1</v>
      </c>
      <c r="B11" s="28" t="s">
        <v>19</v>
      </c>
      <c r="C11" s="13">
        <v>10</v>
      </c>
      <c r="D11" s="13">
        <v>5</v>
      </c>
      <c r="E11" s="31">
        <v>5</v>
      </c>
      <c r="F11" s="13">
        <v>5</v>
      </c>
      <c r="G11" s="13"/>
      <c r="H11" s="14">
        <f>(C11/C$9)*(C$10/6)</f>
        <v>0.33333333333333331</v>
      </c>
      <c r="I11" s="14">
        <f>(D11/D$9)*(D$10/6)</f>
        <v>0.16666666666666666</v>
      </c>
      <c r="J11" s="14">
        <f>(E11/E$9)*(E$10/6)</f>
        <v>0.16666666666666666</v>
      </c>
      <c r="K11" s="14">
        <f>(F11/F$9)*(F$10/6)</f>
        <v>0.16666666666666666</v>
      </c>
      <c r="L11" s="5">
        <f t="shared" ref="L11:L25" si="0">SUM(H11:K11)</f>
        <v>0.83333333333333326</v>
      </c>
      <c r="M11" s="15"/>
      <c r="N11" s="18"/>
      <c r="P11" s="19"/>
      <c r="Q11" s="19"/>
      <c r="R11" s="19"/>
    </row>
    <row r="12" spans="1:18" ht="18.600000000000001" thickBot="1" x14ac:dyDescent="0.35">
      <c r="A12" s="12">
        <f t="shared" ref="A12:A17" si="1">SUM(A11,1)</f>
        <v>2</v>
      </c>
      <c r="B12" s="29" t="s">
        <v>20</v>
      </c>
      <c r="C12" s="13">
        <v>10</v>
      </c>
      <c r="D12" s="13">
        <v>4</v>
      </c>
      <c r="E12" s="31">
        <v>5</v>
      </c>
      <c r="F12" s="13">
        <v>5</v>
      </c>
      <c r="G12" s="13"/>
      <c r="H12" s="14">
        <f t="shared" ref="H12:H25" si="2">(C12/C$9)*(C$10/6)</f>
        <v>0.33333333333333331</v>
      </c>
      <c r="I12" s="14">
        <f t="shared" ref="I12:I25" si="3">(D12/D$9)*(D$10/6)</f>
        <v>0.13333333333333333</v>
      </c>
      <c r="J12" s="14">
        <f t="shared" ref="J12:J25" si="4">(E12/E$9)*(E$10/6)</f>
        <v>0.16666666666666666</v>
      </c>
      <c r="K12" s="14">
        <f t="shared" ref="K12:K25" si="5">(F12/F$9)*(F$10/6)</f>
        <v>0.16666666666666666</v>
      </c>
      <c r="L12" s="5">
        <f t="shared" si="0"/>
        <v>0.79999999999999993</v>
      </c>
      <c r="M12" s="15"/>
      <c r="N12" s="18"/>
      <c r="P12" s="19"/>
      <c r="Q12" s="19"/>
      <c r="R12" s="19"/>
    </row>
    <row r="13" spans="1:18" ht="18.600000000000001" thickBot="1" x14ac:dyDescent="0.35">
      <c r="A13" s="12">
        <f t="shared" si="1"/>
        <v>3</v>
      </c>
      <c r="B13" s="29" t="s">
        <v>21</v>
      </c>
      <c r="C13" s="13">
        <v>10</v>
      </c>
      <c r="D13" s="13">
        <v>10</v>
      </c>
      <c r="E13" s="31">
        <v>5</v>
      </c>
      <c r="F13" s="13">
        <v>5</v>
      </c>
      <c r="G13" s="13"/>
      <c r="H13" s="14">
        <f t="shared" si="2"/>
        <v>0.33333333333333331</v>
      </c>
      <c r="I13" s="14">
        <f t="shared" si="3"/>
        <v>0.33333333333333331</v>
      </c>
      <c r="J13" s="14">
        <f t="shared" si="4"/>
        <v>0.16666666666666666</v>
      </c>
      <c r="K13" s="14">
        <f t="shared" si="5"/>
        <v>0.16666666666666666</v>
      </c>
      <c r="L13" s="5">
        <f t="shared" si="0"/>
        <v>0.99999999999999989</v>
      </c>
      <c r="M13" s="15"/>
      <c r="N13" s="18"/>
      <c r="P13" s="19"/>
      <c r="Q13" s="19"/>
      <c r="R13" s="19"/>
    </row>
    <row r="14" spans="1:18" ht="18.600000000000001" thickBot="1" x14ac:dyDescent="0.35">
      <c r="A14" s="12">
        <f>SUM(A13,1)</f>
        <v>4</v>
      </c>
      <c r="B14" s="29" t="s">
        <v>22</v>
      </c>
      <c r="C14" s="13">
        <v>10</v>
      </c>
      <c r="D14" s="13">
        <v>10</v>
      </c>
      <c r="E14" s="31">
        <v>5</v>
      </c>
      <c r="F14" s="13">
        <v>3</v>
      </c>
      <c r="G14" s="13"/>
      <c r="H14" s="14">
        <f t="shared" si="2"/>
        <v>0.33333333333333331</v>
      </c>
      <c r="I14" s="14">
        <f t="shared" si="3"/>
        <v>0.33333333333333331</v>
      </c>
      <c r="J14" s="14">
        <f t="shared" si="4"/>
        <v>0.16666666666666666</v>
      </c>
      <c r="K14" s="14">
        <f t="shared" si="5"/>
        <v>9.9999999999999992E-2</v>
      </c>
      <c r="L14" s="5">
        <f t="shared" si="0"/>
        <v>0.93333333333333324</v>
      </c>
      <c r="M14" s="15"/>
      <c r="N14" s="18"/>
      <c r="P14" s="19"/>
      <c r="Q14" s="19"/>
      <c r="R14" s="19"/>
    </row>
    <row r="15" spans="1:18" ht="18.600000000000001" thickBot="1" x14ac:dyDescent="0.35">
      <c r="A15" s="12">
        <f t="shared" si="1"/>
        <v>5</v>
      </c>
      <c r="B15" s="29" t="s">
        <v>23</v>
      </c>
      <c r="C15" s="13">
        <v>10</v>
      </c>
      <c r="D15" s="13">
        <v>10</v>
      </c>
      <c r="E15" s="31">
        <v>5</v>
      </c>
      <c r="F15" s="13">
        <v>5</v>
      </c>
      <c r="G15" s="13"/>
      <c r="H15" s="14">
        <f t="shared" si="2"/>
        <v>0.33333333333333331</v>
      </c>
      <c r="I15" s="14">
        <f t="shared" si="3"/>
        <v>0.33333333333333331</v>
      </c>
      <c r="J15" s="14">
        <f t="shared" si="4"/>
        <v>0.16666666666666666</v>
      </c>
      <c r="K15" s="14">
        <f t="shared" si="5"/>
        <v>0.16666666666666666</v>
      </c>
      <c r="L15" s="5">
        <f t="shared" si="0"/>
        <v>0.99999999999999989</v>
      </c>
      <c r="M15" s="15"/>
      <c r="N15" s="18"/>
      <c r="P15" s="19"/>
      <c r="Q15" s="19"/>
      <c r="R15" s="19"/>
    </row>
    <row r="16" spans="1:18" ht="18.600000000000001" thickBot="1" x14ac:dyDescent="0.35">
      <c r="A16" s="12">
        <f t="shared" si="1"/>
        <v>6</v>
      </c>
      <c r="B16" s="29" t="s">
        <v>24</v>
      </c>
      <c r="C16" s="13">
        <v>10</v>
      </c>
      <c r="D16" s="13">
        <v>10</v>
      </c>
      <c r="E16" s="31">
        <v>3</v>
      </c>
      <c r="F16" s="13">
        <v>1</v>
      </c>
      <c r="G16" s="13"/>
      <c r="H16" s="14">
        <f t="shared" si="2"/>
        <v>0.33333333333333331</v>
      </c>
      <c r="I16" s="14">
        <f t="shared" si="3"/>
        <v>0.33333333333333331</v>
      </c>
      <c r="J16" s="14">
        <f t="shared" si="4"/>
        <v>9.9999999999999992E-2</v>
      </c>
      <c r="K16" s="14">
        <f t="shared" si="5"/>
        <v>3.3333333333333333E-2</v>
      </c>
      <c r="L16" s="5">
        <f t="shared" si="0"/>
        <v>0.79999999999999993</v>
      </c>
      <c r="M16" s="15"/>
      <c r="N16" s="18"/>
      <c r="P16" s="19"/>
      <c r="Q16" s="19"/>
      <c r="R16" s="19"/>
    </row>
    <row r="17" spans="1:19" ht="18.600000000000001" thickBot="1" x14ac:dyDescent="0.35">
      <c r="A17" s="12">
        <f t="shared" si="1"/>
        <v>7</v>
      </c>
      <c r="B17" s="29" t="s">
        <v>25</v>
      </c>
      <c r="C17" s="13">
        <v>10</v>
      </c>
      <c r="D17" s="13">
        <v>7</v>
      </c>
      <c r="E17" s="31">
        <v>3</v>
      </c>
      <c r="F17" s="13">
        <v>5</v>
      </c>
      <c r="G17" s="13"/>
      <c r="H17" s="14">
        <f t="shared" si="2"/>
        <v>0.33333333333333331</v>
      </c>
      <c r="I17" s="14">
        <f t="shared" si="3"/>
        <v>0.23333333333333331</v>
      </c>
      <c r="J17" s="14">
        <f t="shared" si="4"/>
        <v>9.9999999999999992E-2</v>
      </c>
      <c r="K17" s="14">
        <f t="shared" si="5"/>
        <v>0.16666666666666666</v>
      </c>
      <c r="L17" s="5">
        <f t="shared" si="0"/>
        <v>0.83333333333333326</v>
      </c>
      <c r="M17" s="15"/>
      <c r="N17" s="18"/>
      <c r="P17" s="19"/>
      <c r="Q17" s="19"/>
      <c r="R17" s="19"/>
    </row>
    <row r="18" spans="1:19" ht="18.600000000000001" thickBot="1" x14ac:dyDescent="0.35">
      <c r="A18" s="12">
        <f>SUM(A17,1)</f>
        <v>8</v>
      </c>
      <c r="B18" s="29" t="s">
        <v>26</v>
      </c>
      <c r="C18" s="13">
        <v>10</v>
      </c>
      <c r="D18" s="13">
        <v>7</v>
      </c>
      <c r="E18" s="31">
        <v>5</v>
      </c>
      <c r="F18" s="13">
        <v>5</v>
      </c>
      <c r="G18" s="13"/>
      <c r="H18" s="14">
        <f t="shared" si="2"/>
        <v>0.33333333333333331</v>
      </c>
      <c r="I18" s="14">
        <f t="shared" si="3"/>
        <v>0.23333333333333331</v>
      </c>
      <c r="J18" s="14">
        <f t="shared" si="4"/>
        <v>0.16666666666666666</v>
      </c>
      <c r="K18" s="14">
        <f t="shared" si="5"/>
        <v>0.16666666666666666</v>
      </c>
      <c r="L18" s="5">
        <f t="shared" si="0"/>
        <v>0.89999999999999991</v>
      </c>
      <c r="M18" s="15"/>
      <c r="N18" s="18"/>
      <c r="P18" s="19"/>
      <c r="Q18" s="19"/>
      <c r="R18" s="19"/>
    </row>
    <row r="19" spans="1:19" ht="18.600000000000001" thickBot="1" x14ac:dyDescent="0.35">
      <c r="A19" s="12">
        <v>9</v>
      </c>
      <c r="B19" s="29" t="s">
        <v>27</v>
      </c>
      <c r="C19" s="13">
        <v>10</v>
      </c>
      <c r="D19" s="13">
        <v>7</v>
      </c>
      <c r="E19" s="31">
        <v>5</v>
      </c>
      <c r="F19" s="13">
        <v>5</v>
      </c>
      <c r="G19" s="13"/>
      <c r="H19" s="14">
        <f t="shared" si="2"/>
        <v>0.33333333333333331</v>
      </c>
      <c r="I19" s="14">
        <f t="shared" si="3"/>
        <v>0.23333333333333331</v>
      </c>
      <c r="J19" s="14">
        <f t="shared" si="4"/>
        <v>0.16666666666666666</v>
      </c>
      <c r="K19" s="14">
        <f t="shared" si="5"/>
        <v>0.16666666666666666</v>
      </c>
      <c r="L19" s="5">
        <f t="shared" si="0"/>
        <v>0.89999999999999991</v>
      </c>
      <c r="M19" s="15"/>
      <c r="N19" s="18"/>
      <c r="O19" s="19"/>
      <c r="Q19" s="19"/>
      <c r="R19" s="19"/>
      <c r="S19" s="19"/>
    </row>
    <row r="20" spans="1:19" ht="18.600000000000001" thickBot="1" x14ac:dyDescent="0.35">
      <c r="A20" s="12">
        <v>10</v>
      </c>
      <c r="B20" s="29" t="s">
        <v>28</v>
      </c>
      <c r="C20" s="13">
        <v>10</v>
      </c>
      <c r="D20" s="13">
        <v>5</v>
      </c>
      <c r="E20" s="31">
        <v>5</v>
      </c>
      <c r="F20" s="13">
        <v>5</v>
      </c>
      <c r="G20" s="13"/>
      <c r="H20" s="14">
        <f t="shared" si="2"/>
        <v>0.33333333333333331</v>
      </c>
      <c r="I20" s="14">
        <f t="shared" si="3"/>
        <v>0.16666666666666666</v>
      </c>
      <c r="J20" s="14">
        <f t="shared" si="4"/>
        <v>0.16666666666666666</v>
      </c>
      <c r="K20" s="14">
        <f t="shared" si="5"/>
        <v>0.16666666666666666</v>
      </c>
      <c r="L20" s="5">
        <f t="shared" si="0"/>
        <v>0.83333333333333326</v>
      </c>
      <c r="M20" s="15"/>
      <c r="N20" s="18"/>
    </row>
    <row r="21" spans="1:19" ht="18.600000000000001" thickBot="1" x14ac:dyDescent="0.35">
      <c r="A21" s="12">
        <f t="shared" ref="A21:A30" si="6">SUM(A20,1)</f>
        <v>11</v>
      </c>
      <c r="B21" s="29" t="s">
        <v>29</v>
      </c>
      <c r="C21" s="13">
        <v>10</v>
      </c>
      <c r="D21" s="13">
        <v>8</v>
      </c>
      <c r="E21" s="31">
        <v>4</v>
      </c>
      <c r="F21" s="13">
        <v>5</v>
      </c>
      <c r="G21" s="13"/>
      <c r="H21" s="14">
        <f t="shared" si="2"/>
        <v>0.33333333333333331</v>
      </c>
      <c r="I21" s="14">
        <f t="shared" si="3"/>
        <v>0.26666666666666666</v>
      </c>
      <c r="J21" s="14">
        <f t="shared" si="4"/>
        <v>0.13333333333333333</v>
      </c>
      <c r="K21" s="14">
        <f t="shared" si="5"/>
        <v>0.16666666666666666</v>
      </c>
      <c r="L21" s="5">
        <f t="shared" si="0"/>
        <v>0.89999999999999991</v>
      </c>
      <c r="M21" s="15"/>
      <c r="N21" s="18"/>
    </row>
    <row r="22" spans="1:19" ht="18.600000000000001" thickBot="1" x14ac:dyDescent="0.35">
      <c r="A22" s="12">
        <f>SUM(A21,1)</f>
        <v>12</v>
      </c>
      <c r="B22" s="29" t="s">
        <v>30</v>
      </c>
      <c r="C22" s="13">
        <v>10</v>
      </c>
      <c r="D22" s="13">
        <v>5</v>
      </c>
      <c r="E22" s="31">
        <v>5</v>
      </c>
      <c r="F22" s="13">
        <v>5</v>
      </c>
      <c r="G22" s="13"/>
      <c r="H22" s="14">
        <f t="shared" si="2"/>
        <v>0.33333333333333331</v>
      </c>
      <c r="I22" s="14">
        <f t="shared" si="3"/>
        <v>0.16666666666666666</v>
      </c>
      <c r="J22" s="14">
        <f t="shared" si="4"/>
        <v>0.16666666666666666</v>
      </c>
      <c r="K22" s="14">
        <f t="shared" si="5"/>
        <v>0.16666666666666666</v>
      </c>
      <c r="L22" s="5">
        <f t="shared" si="0"/>
        <v>0.83333333333333326</v>
      </c>
      <c r="M22" s="15"/>
      <c r="N22" s="18"/>
    </row>
    <row r="23" spans="1:19" ht="18.600000000000001" thickBot="1" x14ac:dyDescent="0.35">
      <c r="A23" s="12">
        <f t="shared" si="6"/>
        <v>13</v>
      </c>
      <c r="B23" s="29" t="s">
        <v>31</v>
      </c>
      <c r="C23" s="13">
        <v>10</v>
      </c>
      <c r="D23" s="13">
        <v>5</v>
      </c>
      <c r="E23" s="31">
        <v>2</v>
      </c>
      <c r="F23" s="13">
        <v>5</v>
      </c>
      <c r="G23" s="13"/>
      <c r="H23" s="14">
        <f t="shared" si="2"/>
        <v>0.33333333333333331</v>
      </c>
      <c r="I23" s="14">
        <f t="shared" si="3"/>
        <v>0.16666666666666666</v>
      </c>
      <c r="J23" s="14">
        <f t="shared" si="4"/>
        <v>6.6666666666666666E-2</v>
      </c>
      <c r="K23" s="14">
        <f t="shared" si="5"/>
        <v>0.16666666666666666</v>
      </c>
      <c r="L23" s="5">
        <f t="shared" si="0"/>
        <v>0.73333333333333328</v>
      </c>
      <c r="M23" s="15"/>
      <c r="N23" s="18"/>
    </row>
    <row r="24" spans="1:19" ht="18.600000000000001" thickBot="1" x14ac:dyDescent="0.35">
      <c r="A24" s="12">
        <f t="shared" si="6"/>
        <v>14</v>
      </c>
      <c r="B24" s="29" t="s">
        <v>32</v>
      </c>
      <c r="C24" s="13">
        <v>10</v>
      </c>
      <c r="D24" s="13">
        <v>10</v>
      </c>
      <c r="E24" s="31">
        <v>5</v>
      </c>
      <c r="F24" s="13">
        <v>2</v>
      </c>
      <c r="G24" s="13"/>
      <c r="H24" s="14">
        <f t="shared" si="2"/>
        <v>0.33333333333333331</v>
      </c>
      <c r="I24" s="14">
        <f t="shared" si="3"/>
        <v>0.33333333333333331</v>
      </c>
      <c r="J24" s="14">
        <f t="shared" si="4"/>
        <v>0.16666666666666666</v>
      </c>
      <c r="K24" s="14">
        <f t="shared" si="5"/>
        <v>6.6666666666666666E-2</v>
      </c>
      <c r="L24" s="5">
        <f t="shared" si="0"/>
        <v>0.89999999999999991</v>
      </c>
      <c r="M24" s="15"/>
      <c r="N24" s="18"/>
    </row>
    <row r="25" spans="1:19" ht="18.600000000000001" thickBot="1" x14ac:dyDescent="0.35">
      <c r="A25" s="12">
        <f t="shared" si="6"/>
        <v>15</v>
      </c>
      <c r="B25" s="29" t="s">
        <v>33</v>
      </c>
      <c r="C25" s="13">
        <v>10</v>
      </c>
      <c r="D25" s="13">
        <v>10</v>
      </c>
      <c r="E25" s="31">
        <v>5</v>
      </c>
      <c r="F25" s="13">
        <v>5</v>
      </c>
      <c r="G25" s="13"/>
      <c r="H25" s="14">
        <f t="shared" si="2"/>
        <v>0.33333333333333331</v>
      </c>
      <c r="I25" s="14">
        <f t="shared" si="3"/>
        <v>0.33333333333333331</v>
      </c>
      <c r="J25" s="14">
        <f t="shared" si="4"/>
        <v>0.16666666666666666</v>
      </c>
      <c r="K25" s="14">
        <f t="shared" si="5"/>
        <v>0.16666666666666666</v>
      </c>
      <c r="L25" s="5">
        <f t="shared" si="0"/>
        <v>0.99999999999999989</v>
      </c>
      <c r="M25" s="15"/>
      <c r="N25" s="18"/>
    </row>
    <row r="26" spans="1:19" ht="18.600000000000001" thickBot="1" x14ac:dyDescent="0.35">
      <c r="A26" s="12">
        <f t="shared" si="6"/>
        <v>16</v>
      </c>
      <c r="B26" s="29" t="s">
        <v>34</v>
      </c>
      <c r="C26" s="13">
        <v>10</v>
      </c>
      <c r="D26" s="13">
        <v>10</v>
      </c>
      <c r="E26" s="31">
        <v>5</v>
      </c>
      <c r="F26" s="13">
        <v>5</v>
      </c>
      <c r="G26" s="13"/>
      <c r="H26" s="14">
        <f t="shared" ref="H26:H30" si="7">(C26/C$9)*(C$10/6)</f>
        <v>0.33333333333333331</v>
      </c>
      <c r="I26" s="14">
        <f t="shared" ref="I26:I30" si="8">(D26/D$9)*(D$10/6)</f>
        <v>0.33333333333333331</v>
      </c>
      <c r="J26" s="14">
        <f t="shared" ref="J26:J30" si="9">(E26/E$9)*(E$10/6)</f>
        <v>0.16666666666666666</v>
      </c>
      <c r="K26" s="14">
        <f t="shared" ref="K26:K30" si="10">(F26/F$9)*(F$10/6)</f>
        <v>0.16666666666666666</v>
      </c>
      <c r="L26" s="5">
        <f t="shared" ref="L26:L30" si="11">SUM(H26:K26)</f>
        <v>0.99999999999999989</v>
      </c>
      <c r="M26" s="15"/>
      <c r="N26" s="18"/>
    </row>
    <row r="27" spans="1:19" ht="18" thickBot="1" x14ac:dyDescent="0.35">
      <c r="A27" s="12">
        <f>SUM(A26,1)</f>
        <v>17</v>
      </c>
      <c r="B27" s="30" t="s">
        <v>35</v>
      </c>
      <c r="C27" s="13">
        <v>10</v>
      </c>
      <c r="D27" s="13">
        <v>5</v>
      </c>
      <c r="E27" s="31">
        <v>4</v>
      </c>
      <c r="F27" s="13">
        <v>5</v>
      </c>
      <c r="G27" s="13"/>
      <c r="H27" s="14">
        <f t="shared" si="7"/>
        <v>0.33333333333333331</v>
      </c>
      <c r="I27" s="14">
        <f t="shared" si="8"/>
        <v>0.16666666666666666</v>
      </c>
      <c r="J27" s="14">
        <f t="shared" si="9"/>
        <v>0.13333333333333333</v>
      </c>
      <c r="K27" s="14">
        <f t="shared" si="10"/>
        <v>0.16666666666666666</v>
      </c>
      <c r="L27" s="5">
        <f t="shared" si="11"/>
        <v>0.79999999999999993</v>
      </c>
      <c r="M27" s="15"/>
      <c r="N27" s="18"/>
    </row>
    <row r="28" spans="1:19" ht="18.600000000000001" thickBot="1" x14ac:dyDescent="0.35">
      <c r="A28" s="12">
        <f t="shared" si="6"/>
        <v>18</v>
      </c>
      <c r="B28" s="29" t="s">
        <v>36</v>
      </c>
      <c r="C28" s="13">
        <v>10</v>
      </c>
      <c r="D28" s="13">
        <v>5</v>
      </c>
      <c r="E28" s="31">
        <v>5</v>
      </c>
      <c r="F28" s="13">
        <v>5</v>
      </c>
      <c r="G28" s="13"/>
      <c r="H28" s="14">
        <f t="shared" si="7"/>
        <v>0.33333333333333331</v>
      </c>
      <c r="I28" s="14">
        <f t="shared" si="8"/>
        <v>0.16666666666666666</v>
      </c>
      <c r="J28" s="14">
        <f t="shared" si="9"/>
        <v>0.16666666666666666</v>
      </c>
      <c r="K28" s="14">
        <f t="shared" si="10"/>
        <v>0.16666666666666666</v>
      </c>
      <c r="L28" s="5">
        <f t="shared" si="11"/>
        <v>0.83333333333333326</v>
      </c>
      <c r="M28" s="15"/>
      <c r="N28" s="18"/>
    </row>
    <row r="29" spans="1:19" ht="18.600000000000001" thickBot="1" x14ac:dyDescent="0.35">
      <c r="A29" s="12">
        <f t="shared" si="6"/>
        <v>19</v>
      </c>
      <c r="B29" s="29" t="s">
        <v>37</v>
      </c>
      <c r="C29" s="13">
        <v>10</v>
      </c>
      <c r="D29" s="13">
        <v>10</v>
      </c>
      <c r="E29" s="31">
        <v>5</v>
      </c>
      <c r="F29" s="13">
        <v>4</v>
      </c>
      <c r="G29" s="13"/>
      <c r="H29" s="14">
        <f t="shared" si="7"/>
        <v>0.33333333333333331</v>
      </c>
      <c r="I29" s="14">
        <f t="shared" si="8"/>
        <v>0.33333333333333331</v>
      </c>
      <c r="J29" s="14">
        <f t="shared" si="9"/>
        <v>0.16666666666666666</v>
      </c>
      <c r="K29" s="14">
        <f t="shared" si="10"/>
        <v>0.13333333333333333</v>
      </c>
      <c r="L29" s="5">
        <f t="shared" si="11"/>
        <v>0.96666666666666656</v>
      </c>
      <c r="M29" s="15"/>
      <c r="N29" s="18"/>
    </row>
    <row r="30" spans="1:19" ht="18.600000000000001" thickBot="1" x14ac:dyDescent="0.35">
      <c r="A30" s="12">
        <f t="shared" si="6"/>
        <v>20</v>
      </c>
      <c r="B30" s="29" t="s">
        <v>38</v>
      </c>
      <c r="C30" s="13">
        <v>10</v>
      </c>
      <c r="D30" s="13">
        <v>10</v>
      </c>
      <c r="E30" s="31">
        <v>5</v>
      </c>
      <c r="F30" s="13">
        <v>4</v>
      </c>
      <c r="G30" s="13"/>
      <c r="H30" s="14">
        <f t="shared" si="7"/>
        <v>0.33333333333333331</v>
      </c>
      <c r="I30" s="14">
        <f t="shared" si="8"/>
        <v>0.33333333333333331</v>
      </c>
      <c r="J30" s="14">
        <f t="shared" si="9"/>
        <v>0.16666666666666666</v>
      </c>
      <c r="K30" s="14">
        <f t="shared" si="10"/>
        <v>0.13333333333333333</v>
      </c>
      <c r="L30" s="5">
        <f t="shared" si="11"/>
        <v>0.96666666666666656</v>
      </c>
      <c r="M30" s="15"/>
      <c r="N30" s="18"/>
    </row>
  </sheetData>
  <sheetProtection selectLockedCells="1" selectUnlockedCells="1"/>
  <mergeCells count="2">
    <mergeCell ref="L1:N1"/>
    <mergeCell ref="L2:N2"/>
  </mergeCells>
  <pageMargins left="0.39370078740157483" right="0.39370078740157483" top="0.39370078740157483" bottom="0.39370078740157483" header="0.51181102362204722" footer="0.51181102362204722"/>
  <pageSetup paperSize="9" scale="87" firstPageNumber="0" orientation="landscape" verticalDpi="300" r:id="rId1"/>
  <headerFooter alignWithMargins="0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USER</cp:lastModifiedBy>
  <cp:lastPrinted>2016-01-05T06:21:24Z</cp:lastPrinted>
  <dcterms:created xsi:type="dcterms:W3CDTF">2014-12-24T03:49:43Z</dcterms:created>
  <dcterms:modified xsi:type="dcterms:W3CDTF">2021-12-13T03:31:06Z</dcterms:modified>
</cp:coreProperties>
</file>